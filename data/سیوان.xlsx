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.pishdad\Downloads\برنامه ها فروشگاه ها\ادیت\"/>
    </mc:Choice>
  </mc:AlternateContent>
  <xr:revisionPtr revIDLastSave="0" documentId="13_ncr:1_{5930E76C-17A2-43A5-8B09-9B0D00603F7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8ام مرداد" sheetId="1" r:id="rId1"/>
    <sheet name="25ام مردا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3" i="2" l="1"/>
  <c r="D62" i="2"/>
  <c r="A1" i="2"/>
  <c r="D63" i="1"/>
  <c r="D62" i="1"/>
  <c r="D64" i="1" s="1"/>
  <c r="A1" i="1"/>
  <c r="D64" i="2" l="1"/>
</calcChain>
</file>

<file path=xl/sharedStrings.xml><?xml version="1.0" encoding="utf-8"?>
<sst xmlns="http://schemas.openxmlformats.org/spreadsheetml/2006/main" count="273" uniqueCount="90">
  <si>
    <t>نام فروشگاه</t>
  </si>
  <si>
    <t>ماه</t>
  </si>
  <si>
    <t>سال</t>
  </si>
  <si>
    <t>ارزیاب</t>
  </si>
  <si>
    <t>سرپرست</t>
  </si>
  <si>
    <t>توضیح دوره</t>
  </si>
  <si>
    <t>کد شاخص</t>
  </si>
  <si>
    <t>گروه شاخص</t>
  </si>
  <si>
    <t>شاخص</t>
  </si>
  <si>
    <t>ارزیابی (0-1)</t>
  </si>
  <si>
    <t>وضعیت بررسی</t>
  </si>
  <si>
    <t>توضیح</t>
  </si>
  <si>
    <t>آماده‌سازی محیط فروشگاه</t>
  </si>
  <si>
    <t>نظافت کامل کف، قفسه‌ها، دیوارها و ویترین‌ها انجام شده است</t>
  </si>
  <si>
    <t>شیشه‌ها، آینه‌ها و درب ورودی بدون لک و خط هستند</t>
  </si>
  <si>
    <t>سطل‌های زباله خالی، تمیز و دارای کیسه هستند</t>
  </si>
  <si>
    <t>روشنایی فروشگاه بررسی و سالم است</t>
  </si>
  <si>
    <t>روشنایی ویترین ها با کیفیا و بدون مشکل است</t>
  </si>
  <si>
    <t>تهویه / سیستم سرمایش و گرمایش روشن و فعال است</t>
  </si>
  <si>
    <t>تنظیم دمای محیط متناسب با فصل انجام شده است</t>
  </si>
  <si>
    <t>بوی نامطبوع (رطوبت، فاضلاب، غذا و…) وجود ندارد</t>
  </si>
  <si>
    <t>موسیقی پس‌زمینه فعال و شدت صدا مناسب است</t>
  </si>
  <si>
    <t>تابلو «باز است» نصب یا روشن شده است</t>
  </si>
  <si>
    <t>مسیر تردد مشتریان، ورودی و خروجی بدون مانع است</t>
  </si>
  <si>
    <t>ویترین و چیدمان</t>
  </si>
  <si>
    <t>ویترین مطابق سناریوی فروش روز چیده شده است</t>
  </si>
  <si>
    <t>شیشه ویترین کاملاً تمیز و شفاف است</t>
  </si>
  <si>
    <t>نورپردازی ویترین فعال و هدفمند است</t>
  </si>
  <si>
    <t>کالاها فیسینگ صحیح دارند (رو به جلو و منظم)</t>
  </si>
  <si>
    <t>کالاهای پرفروش در دید مستقیم مشتری قرار دارند</t>
  </si>
  <si>
    <t>کالاهای جدید با تگ یا برچسب مشخص شده‌اند</t>
  </si>
  <si>
    <t>کالاهای پروموشن در نقاط طلایی فروشگاه قرار دارند</t>
  </si>
  <si>
    <t>پوسترها، استندها و اقلام تبلیغاتی سالم و تمیز هستند</t>
  </si>
  <si>
    <t>نظم و فاصله استاندارد بین قفسه‌ها رعایت شده است</t>
  </si>
  <si>
    <t>موجودی و کالا</t>
  </si>
  <si>
    <t>موجودی فیزیکی با سیستم تطبیق داده شده است</t>
  </si>
  <si>
    <t>کالاهای با گردش بالا کنترل شده‌اند</t>
  </si>
  <si>
    <t>کمبود کالا شناسایی و گزارش شده است</t>
  </si>
  <si>
    <t>سفارش مجدد اقلام ضروری ثبت شده است</t>
  </si>
  <si>
    <t>کالاهای آسیب‌دیده، معیوب یا مرجوعی جدا شده‌اند</t>
  </si>
  <si>
    <t>کالاهای برگشتی ثبت سیستمی شده‌اند</t>
  </si>
  <si>
    <t>انبار مرتب، تمیز و دارای برچسب است</t>
  </si>
  <si>
    <t>مسیر دسترسی به انبار ایمن و آزاد است</t>
  </si>
  <si>
    <t>صندوق و سیستم‌ها</t>
  </si>
  <si>
    <t>صندوق / POS روشن و بدون خطا است</t>
  </si>
  <si>
    <t>نام کاربری، سطح دسترسی و تاریخ سیستم بررسی شده است</t>
  </si>
  <si>
    <t>اینترنت پایدار و سرعت مناسب دارد</t>
  </si>
  <si>
    <t>سیستم فروش تست اولیه انجام داده است</t>
  </si>
  <si>
    <t>دستگاه کارت‌خوان تست تراکنش شده است</t>
  </si>
  <si>
    <t>کاغذ رسید، رول POS و ملزومات موجود است</t>
  </si>
  <si>
    <t>فاکتور آزمایشی ثبت و ابطال شده است</t>
  </si>
  <si>
    <t>کشوی مدارک ایمن است</t>
  </si>
  <si>
    <t>پرسنل</t>
  </si>
  <si>
    <t>حضور کلیه پرسنل طبق برنامه شیفت کنترل شده است</t>
  </si>
  <si>
    <t>تأخیر یا غیبت ثبت و گزارش شده است</t>
  </si>
  <si>
    <t>یونیفرم تمیز و کامل (کفش، تگ نام و…) رعایت شده است</t>
  </si>
  <si>
    <t>بهداشت فردی پرسنل بررسی شده است</t>
  </si>
  <si>
    <t>وظایف هر فرد در شیفت مشخص و اعلام شده است</t>
  </si>
  <si>
    <t>اهداف فروش، پروموشن‌ها و تخفیف‌ها توضیح داده شده است</t>
  </si>
  <si>
    <t>تقسیم وظایف صندوق، فروش و انبار انجام شده است</t>
  </si>
  <si>
    <t>روحیه، تمرکز و آمادگی پرسنل تأیید شده است</t>
  </si>
  <si>
    <t>ایمنی و امنیت</t>
  </si>
  <si>
    <t>درب‌های ورودی و خروجی سالم و روان هستند</t>
  </si>
  <si>
    <t>قفل‌ها و کرکره‌ها به‌درستی عمل می‌کنند</t>
  </si>
  <si>
    <t>دوربین‌های مداربسته روشن و در حال ضبط هستند</t>
  </si>
  <si>
    <t>کپسول آتش‌نشانی در دسترس و دارای تاریخ اعتبار است</t>
  </si>
  <si>
    <t>سیم‌کشی‌ها و تجهیزات برقی ایمن هستند</t>
  </si>
  <si>
    <t>جعبه کمک‌های اولیه کامل و قابل دسترس است</t>
  </si>
  <si>
    <t>بهداشت</t>
  </si>
  <si>
    <t>مواد ضدعفونی‌کننده دست و سطوح موجود است</t>
  </si>
  <si>
    <t>میز صندوق، دستگیره‌ها و سطوح پرتماس ضدعفونی شده‌اند</t>
  </si>
  <si>
    <t>دستمال کاغذی و مایع ضدعفونی موجود است</t>
  </si>
  <si>
    <t>سطل‌های زباله تخلیه و کیسه‌گذاری شده‌اند</t>
  </si>
  <si>
    <t>بهداشت فردی و پوشش بهداشتی پرسنل رعایت شده است</t>
  </si>
  <si>
    <t>جمع امتیازات انجام‌شده</t>
  </si>
  <si>
    <t>جمع کل امتیازات</t>
  </si>
  <si>
    <t>درصد آمادگی فروشگاه</t>
  </si>
  <si>
    <t>راهنما: نام فروشگاه، ماه و سال اجباری است. برای هر ۵۵ ردیف فقط امتیاز ۰ یا ۱ وارد کنید. پس از تکمیل، فایل را با نام دلخواه داخل پوشه data قرار دهید.</t>
  </si>
  <si>
    <t>Done</t>
  </si>
  <si>
    <t>In Process</t>
  </si>
  <si>
    <t>2عدد هالوژن سوختع و به حیدری ارجاع شد</t>
  </si>
  <si>
    <t>درحال خرید لیبیل زن</t>
  </si>
  <si>
    <t>سیوان</t>
  </si>
  <si>
    <t>وحید پیشداد</t>
  </si>
  <si>
    <t>مرداد</t>
  </si>
  <si>
    <t>قیمت ها زده شد</t>
  </si>
  <si>
    <t>آینه سفارش گذاری شد</t>
  </si>
  <si>
    <t>پاییه اینه شکسته است</t>
  </si>
  <si>
    <t>To Do</t>
  </si>
  <si>
    <t>دسپیلی بی بی جی سفارش گذاشته شد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</si>
</sst>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8"/>
      <color rgb="FFFFFFFF"/>
      <name val="Carlito"/>
    </font>
    <font>
      <b/>
      <sz val="11"/>
      <color rgb="FF0B3558"/>
      <name val="Carlito"/>
    </font>
    <font>
      <sz val="11"/>
      <color rgb="FF0F172A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sz val="11"/>
      <color rgb="FF1F6D5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3558"/>
      </patternFill>
    </fill>
    <fill>
      <patternFill patternType="solid">
        <fgColor rgb="FFDCEAF4"/>
      </patternFill>
    </fill>
    <fill>
      <patternFill patternType="solid">
        <fgColor rgb="FFFFF8D8"/>
      </patternFill>
    </fill>
    <fill>
      <patternFill patternType="solid">
        <fgColor rgb="FF6D38A0"/>
      </patternFill>
    </fill>
    <fill>
      <patternFill patternType="solid">
        <fgColor rgb="FFF8FAFC"/>
      </patternFill>
    </fill>
    <fill>
      <patternFill patternType="solid">
        <fgColor rgb="FFFFF200"/>
      </patternFill>
    </fill>
    <fill>
      <patternFill patternType="solid">
        <fgColor rgb="FFE8F5EF"/>
      </patternFill>
    </fill>
  </fills>
  <borders count="1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4C1D73"/>
      </left>
      <right style="thin">
        <color rgb="FF4C1D73"/>
      </right>
      <top style="thin">
        <color rgb="FF4C1D73"/>
      </top>
      <bottom style="thin">
        <color rgb="FF4C1D73"/>
      </bottom>
      <diagonal/>
    </border>
    <border>
      <left style="thin">
        <color rgb="FFD6DEE7"/>
      </left>
      <right style="thin">
        <color rgb="FFD6DEE7"/>
      </right>
      <top style="thin">
        <color rgb="FFD6DEE7"/>
      </top>
      <bottom style="thin">
        <color rgb="FFD6DEE7"/>
      </bottom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  <border>
      <left style="thin">
        <color rgb="FF8BC7AE"/>
      </left>
      <right/>
      <top style="thin">
        <color rgb="FF8BC7AE"/>
      </top>
      <bottom/>
      <diagonal/>
    </border>
    <border>
      <left/>
      <right/>
      <top style="thin">
        <color rgb="FF8BC7AE"/>
      </top>
      <bottom/>
      <diagonal/>
    </border>
    <border>
      <left/>
      <right style="thin">
        <color rgb="FF8BC7AE"/>
      </right>
      <top style="thin">
        <color rgb="FF8BC7AE"/>
      </top>
      <bottom/>
      <diagonal/>
    </border>
    <border>
      <left style="thin">
        <color rgb="FF8BC7AE"/>
      </left>
      <right/>
      <top/>
      <bottom style="thin">
        <color rgb="FF8BC7AE"/>
      </bottom>
      <diagonal/>
    </border>
    <border>
      <left/>
      <right/>
      <top/>
      <bottom style="thin">
        <color rgb="FF8BC7AE"/>
      </bottom>
      <diagonal/>
    </border>
    <border>
      <left/>
      <right style="thin">
        <color rgb="FF8BC7AE"/>
      </right>
      <top/>
      <bottom style="thin">
        <color rgb="FF8BC7A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right" vertical="center"/>
    </xf>
    <xf numFmtId="0" fontId="4" fillId="5" borderId="2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right" vertical="center" wrapText="1"/>
    </xf>
    <xf numFmtId="0" fontId="0" fillId="4" borderId="3" xfId="0" applyNumberFormat="1" applyFont="1" applyFill="1" applyBorder="1" applyAlignment="1">
      <alignment horizontal="center" vertical="center"/>
    </xf>
    <xf numFmtId="0" fontId="0" fillId="6" borderId="3" xfId="0" applyNumberFormat="1" applyFont="1" applyFill="1" applyBorder="1" applyAlignment="1">
      <alignment horizontal="center" vertical="center"/>
    </xf>
    <xf numFmtId="0" fontId="0" fillId="6" borderId="3" xfId="0" applyNumberFormat="1" applyFont="1" applyFill="1" applyBorder="1" applyAlignment="1">
      <alignment horizontal="right" vertical="center" wrapText="1"/>
    </xf>
    <xf numFmtId="0" fontId="5" fillId="7" borderId="4" xfId="0" applyNumberFormat="1" applyFont="1" applyFill="1" applyBorder="1" applyAlignment="1">
      <alignment horizontal="center" vertical="center"/>
    </xf>
    <xf numFmtId="9" fontId="5" fillId="7" borderId="4" xfId="0" applyNumberFormat="1" applyFont="1" applyFill="1" applyBorder="1" applyAlignment="1">
      <alignment horizontal="center" vertical="center"/>
    </xf>
    <xf numFmtId="0" fontId="5" fillId="7" borderId="4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5" fillId="7" borderId="4" xfId="0" applyNumberFormat="1" applyFont="1" applyFill="1" applyBorder="1" applyAlignment="1">
      <alignment horizontal="center" vertical="center"/>
    </xf>
    <xf numFmtId="0" fontId="6" fillId="8" borderId="5" xfId="0" applyNumberFormat="1" applyFont="1" applyFill="1" applyBorder="1" applyAlignment="1">
      <alignment horizontal="right" vertical="center" wrapText="1"/>
    </xf>
    <xf numFmtId="0" fontId="6" fillId="8" borderId="6" xfId="0" applyNumberFormat="1" applyFont="1" applyFill="1" applyBorder="1" applyAlignment="1">
      <alignment horizontal="right" vertical="center" wrapText="1"/>
    </xf>
    <xf numFmtId="0" fontId="6" fillId="8" borderId="7" xfId="0" applyNumberFormat="1" applyFont="1" applyFill="1" applyBorder="1" applyAlignment="1">
      <alignment horizontal="right" vertical="center" wrapText="1"/>
    </xf>
    <xf numFmtId="0" fontId="6" fillId="8" borderId="8" xfId="0" applyNumberFormat="1" applyFont="1" applyFill="1" applyBorder="1" applyAlignment="1">
      <alignment horizontal="right" vertical="center" wrapText="1"/>
    </xf>
    <xf numFmtId="0" fontId="6" fillId="8" borderId="9" xfId="0" applyNumberFormat="1" applyFont="1" applyFill="1" applyBorder="1" applyAlignment="1">
      <alignment horizontal="right" vertical="center" wrapText="1"/>
    </xf>
    <xf numFmtId="0" fontId="6" fillId="8" borderId="1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4">
    <dxf>
      <font>
        <b/>
        <color rgb="FFFFFFFF"/>
      </font>
      <fill>
        <patternFill patternType="solid">
          <bgColor rgb="FFF25F5C"/>
        </patternFill>
      </fill>
    </dxf>
    <dxf>
      <font>
        <b/>
        <color rgb="FF173A12"/>
      </font>
      <fill>
        <patternFill patternType="solid">
          <bgColor rgb="FF96D95E"/>
        </patternFill>
      </fill>
    </dxf>
    <dxf>
      <font>
        <b/>
        <color rgb="FFFFFFFF"/>
      </font>
      <fill>
        <patternFill patternType="solid">
          <bgColor rgb="FFF25F5C"/>
        </patternFill>
      </fill>
    </dxf>
    <dxf>
      <font>
        <b/>
        <color rgb="FF173A12"/>
      </font>
      <fill>
        <patternFill patternType="solid">
          <bgColor rgb="FF96D95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showGridLines="0" rightToLeft="1" workbookViewId="0">
      <selection activeCell="F8" sqref="F8"/>
    </sheetView>
  </sheetViews>
  <sheetFormatPr defaultRowHeight="13.8"/>
  <cols>
    <col min="1" max="1" width="12" customWidth="1"/>
    <col min="2" max="2" width="24" customWidth="1"/>
    <col min="3" max="3" width="62" customWidth="1"/>
    <col min="4" max="4" width="16" customWidth="1"/>
    <col min="5" max="5" width="18" customWidth="1"/>
    <col min="6" max="6" width="38" customWidth="1"/>
  </cols>
  <sheetData>
    <row r="1" spans="1:6" ht="34.049999999999997" customHeight="1">
      <c r="A1" s="12" t="str">
        <f>IF(B2="","فرم ارزیابی دوره‌ای فروشگاه","ارزیابی فروشگاه "&amp;B2&amp;" — "&amp;D2&amp;" "&amp;F2)</f>
        <v>ارزیابی فروشگاه سیوان — مرداد 1405</v>
      </c>
      <c r="B1" s="12"/>
      <c r="C1" s="12"/>
      <c r="D1" s="12"/>
      <c r="E1" s="12"/>
      <c r="F1" s="12"/>
    </row>
    <row r="2" spans="1:6">
      <c r="A2" s="1" t="s">
        <v>0</v>
      </c>
      <c r="B2" s="2" t="s">
        <v>82</v>
      </c>
      <c r="C2" s="1" t="s">
        <v>1</v>
      </c>
      <c r="D2" s="2" t="s">
        <v>84</v>
      </c>
      <c r="E2" s="1" t="s">
        <v>2</v>
      </c>
      <c r="F2" s="2">
        <v>1405</v>
      </c>
    </row>
    <row r="3" spans="1:6">
      <c r="A3" s="1" t="s">
        <v>3</v>
      </c>
      <c r="B3" s="2" t="s">
        <v>83</v>
      </c>
      <c r="C3" s="1" t="s">
        <v>4</v>
      </c>
      <c r="D3" s="2"/>
      <c r="E3" s="1" t="s">
        <v>5</v>
      </c>
      <c r="F3" s="2"/>
    </row>
    <row r="5" spans="1:6" ht="30" customHeight="1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</row>
    <row r="6" spans="1:6" ht="27" customHeight="1">
      <c r="A6" s="4">
        <v>101</v>
      </c>
      <c r="B6" s="4" t="s">
        <v>12</v>
      </c>
      <c r="C6" s="5" t="s">
        <v>13</v>
      </c>
      <c r="D6" s="6">
        <v>1</v>
      </c>
      <c r="E6" s="7"/>
      <c r="F6" s="8"/>
    </row>
    <row r="7" spans="1:6" ht="27" customHeight="1">
      <c r="A7" s="4">
        <v>101</v>
      </c>
      <c r="B7" s="4" t="s">
        <v>12</v>
      </c>
      <c r="C7" s="5" t="s">
        <v>14</v>
      </c>
      <c r="D7" s="6">
        <v>0</v>
      </c>
      <c r="E7" s="7"/>
      <c r="F7" s="8" t="s">
        <v>87</v>
      </c>
    </row>
    <row r="8" spans="1:6" ht="27" customHeight="1">
      <c r="A8" s="4">
        <v>101</v>
      </c>
      <c r="B8" s="4" t="s">
        <v>12</v>
      </c>
      <c r="C8" s="5" t="s">
        <v>15</v>
      </c>
      <c r="D8" s="6">
        <v>1</v>
      </c>
      <c r="E8" s="7"/>
      <c r="F8" s="8"/>
    </row>
    <row r="9" spans="1:6" ht="27" customHeight="1">
      <c r="A9" s="4">
        <v>101</v>
      </c>
      <c r="B9" s="4" t="s">
        <v>12</v>
      </c>
      <c r="C9" s="5" t="s">
        <v>16</v>
      </c>
      <c r="D9" s="6">
        <v>0</v>
      </c>
      <c r="E9" s="7" t="s">
        <v>79</v>
      </c>
      <c r="F9" s="8" t="s">
        <v>80</v>
      </c>
    </row>
    <row r="10" spans="1:6" ht="27" customHeight="1">
      <c r="A10" s="4">
        <v>101</v>
      </c>
      <c r="B10" s="4" t="s">
        <v>12</v>
      </c>
      <c r="C10" s="5" t="s">
        <v>17</v>
      </c>
      <c r="D10" s="6">
        <v>1</v>
      </c>
      <c r="E10" s="7"/>
      <c r="F10" s="8"/>
    </row>
    <row r="11" spans="1:6" ht="27" customHeight="1">
      <c r="A11" s="4">
        <v>101</v>
      </c>
      <c r="B11" s="4" t="s">
        <v>12</v>
      </c>
      <c r="C11" s="5" t="s">
        <v>18</v>
      </c>
      <c r="D11" s="6">
        <v>1</v>
      </c>
      <c r="E11" s="7"/>
      <c r="F11" s="8"/>
    </row>
    <row r="12" spans="1:6" ht="27" customHeight="1">
      <c r="A12" s="4">
        <v>101</v>
      </c>
      <c r="B12" s="4" t="s">
        <v>12</v>
      </c>
      <c r="C12" s="5" t="s">
        <v>19</v>
      </c>
      <c r="D12" s="6">
        <v>1</v>
      </c>
      <c r="E12" s="7"/>
      <c r="F12" s="8"/>
    </row>
    <row r="13" spans="1:6" ht="27" customHeight="1">
      <c r="A13" s="4">
        <v>101</v>
      </c>
      <c r="B13" s="4" t="s">
        <v>12</v>
      </c>
      <c r="C13" s="5" t="s">
        <v>20</v>
      </c>
      <c r="D13" s="6">
        <v>1</v>
      </c>
      <c r="E13" s="7"/>
      <c r="F13" s="8"/>
    </row>
    <row r="14" spans="1:6" ht="27" customHeight="1">
      <c r="A14" s="4">
        <v>101</v>
      </c>
      <c r="B14" s="4" t="s">
        <v>12</v>
      </c>
      <c r="C14" s="5" t="s">
        <v>21</v>
      </c>
      <c r="D14" s="6">
        <v>1</v>
      </c>
      <c r="E14" s="7" t="s">
        <v>78</v>
      </c>
      <c r="F14" s="8"/>
    </row>
    <row r="15" spans="1:6" ht="27" customHeight="1">
      <c r="A15" s="4">
        <v>101</v>
      </c>
      <c r="B15" s="4" t="s">
        <v>12</v>
      </c>
      <c r="C15" s="5" t="s">
        <v>22</v>
      </c>
      <c r="D15" s="6">
        <v>1</v>
      </c>
      <c r="E15" s="7"/>
      <c r="F15" s="8"/>
    </row>
    <row r="16" spans="1:6" ht="27" customHeight="1">
      <c r="A16" s="4">
        <v>101</v>
      </c>
      <c r="B16" s="4" t="s">
        <v>12</v>
      </c>
      <c r="C16" s="5" t="s">
        <v>23</v>
      </c>
      <c r="D16" s="6">
        <v>1</v>
      </c>
      <c r="E16" s="7"/>
      <c r="F16" s="8"/>
    </row>
    <row r="17" spans="1:6" ht="27" customHeight="1">
      <c r="A17" s="4">
        <v>102</v>
      </c>
      <c r="B17" s="4" t="s">
        <v>24</v>
      </c>
      <c r="C17" s="5" t="s">
        <v>25</v>
      </c>
      <c r="D17" s="6">
        <v>1</v>
      </c>
      <c r="E17" s="7"/>
      <c r="F17" s="8"/>
    </row>
    <row r="18" spans="1:6" ht="27" customHeight="1">
      <c r="A18" s="4">
        <v>102</v>
      </c>
      <c r="B18" s="4" t="s">
        <v>24</v>
      </c>
      <c r="C18" s="5" t="s">
        <v>26</v>
      </c>
      <c r="D18" s="6">
        <v>1</v>
      </c>
      <c r="E18" s="7"/>
      <c r="F18" s="8"/>
    </row>
    <row r="19" spans="1:6" ht="27" customHeight="1">
      <c r="A19" s="4">
        <v>102</v>
      </c>
      <c r="B19" s="4" t="s">
        <v>24</v>
      </c>
      <c r="C19" s="5" t="s">
        <v>27</v>
      </c>
      <c r="D19" s="6">
        <v>1</v>
      </c>
      <c r="E19" s="7"/>
      <c r="F19" s="8"/>
    </row>
    <row r="20" spans="1:6" ht="27" customHeight="1">
      <c r="A20" s="4">
        <v>102</v>
      </c>
      <c r="B20" s="4" t="s">
        <v>24</v>
      </c>
      <c r="C20" s="5" t="s">
        <v>28</v>
      </c>
      <c r="D20" s="6">
        <v>1</v>
      </c>
      <c r="E20" s="7"/>
      <c r="F20" s="8"/>
    </row>
    <row r="21" spans="1:6" ht="27" customHeight="1">
      <c r="A21" s="4">
        <v>102</v>
      </c>
      <c r="B21" s="4" t="s">
        <v>24</v>
      </c>
      <c r="C21" s="5" t="s">
        <v>29</v>
      </c>
      <c r="D21" s="6">
        <v>1</v>
      </c>
      <c r="E21" s="7"/>
      <c r="F21" s="8"/>
    </row>
    <row r="22" spans="1:6" ht="27" customHeight="1">
      <c r="A22" s="4">
        <v>102</v>
      </c>
      <c r="B22" s="4" t="s">
        <v>24</v>
      </c>
      <c r="C22" s="5" t="s">
        <v>30</v>
      </c>
      <c r="D22" s="6">
        <v>0</v>
      </c>
      <c r="E22" s="7" t="s">
        <v>79</v>
      </c>
      <c r="F22" s="8" t="s">
        <v>81</v>
      </c>
    </row>
    <row r="23" spans="1:6" ht="27" customHeight="1">
      <c r="A23" s="4">
        <v>102</v>
      </c>
      <c r="B23" s="4" t="s">
        <v>24</v>
      </c>
      <c r="C23" s="5" t="s">
        <v>31</v>
      </c>
      <c r="D23" s="6">
        <v>1</v>
      </c>
      <c r="E23" s="7"/>
      <c r="F23" s="8"/>
    </row>
    <row r="24" spans="1:6" ht="27" customHeight="1">
      <c r="A24" s="4">
        <v>102</v>
      </c>
      <c r="B24" s="4" t="s">
        <v>24</v>
      </c>
      <c r="C24" s="5" t="s">
        <v>32</v>
      </c>
      <c r="D24" s="6">
        <v>1</v>
      </c>
      <c r="E24" s="7"/>
      <c r="F24" s="8"/>
    </row>
    <row r="25" spans="1:6" ht="27" customHeight="1">
      <c r="A25" s="4">
        <v>102</v>
      </c>
      <c r="B25" s="4" t="s">
        <v>24</v>
      </c>
      <c r="C25" s="5" t="s">
        <v>33</v>
      </c>
      <c r="D25" s="6">
        <v>1</v>
      </c>
      <c r="E25" s="7"/>
      <c r="F25" s="8"/>
    </row>
    <row r="26" spans="1:6" ht="27" customHeight="1">
      <c r="A26" s="4">
        <v>103</v>
      </c>
      <c r="B26" s="4" t="s">
        <v>34</v>
      </c>
      <c r="C26" s="5" t="s">
        <v>35</v>
      </c>
      <c r="D26" s="6">
        <v>1</v>
      </c>
      <c r="E26" s="7"/>
      <c r="F26" s="8"/>
    </row>
    <row r="27" spans="1:6" ht="27" customHeight="1">
      <c r="A27" s="4">
        <v>103</v>
      </c>
      <c r="B27" s="4" t="s">
        <v>34</v>
      </c>
      <c r="C27" s="5" t="s">
        <v>36</v>
      </c>
      <c r="D27" s="6">
        <v>1</v>
      </c>
      <c r="E27" s="7"/>
      <c r="F27" s="8"/>
    </row>
    <row r="28" spans="1:6" ht="27" customHeight="1">
      <c r="A28" s="4">
        <v>103</v>
      </c>
      <c r="B28" s="4" t="s">
        <v>34</v>
      </c>
      <c r="C28" s="5" t="s">
        <v>37</v>
      </c>
      <c r="D28" s="6">
        <v>1</v>
      </c>
      <c r="E28" s="7"/>
      <c r="F28" s="8"/>
    </row>
    <row r="29" spans="1:6" ht="27" customHeight="1">
      <c r="A29" s="4">
        <v>103</v>
      </c>
      <c r="B29" s="4" t="s">
        <v>34</v>
      </c>
      <c r="C29" s="5" t="s">
        <v>38</v>
      </c>
      <c r="D29" s="6">
        <v>1</v>
      </c>
      <c r="E29" s="7"/>
      <c r="F29" s="8"/>
    </row>
    <row r="30" spans="1:6" ht="27" customHeight="1">
      <c r="A30" s="4">
        <v>103</v>
      </c>
      <c r="B30" s="4" t="s">
        <v>34</v>
      </c>
      <c r="C30" s="5" t="s">
        <v>39</v>
      </c>
      <c r="D30" s="6">
        <v>1</v>
      </c>
      <c r="E30" s="7"/>
      <c r="F30" s="8"/>
    </row>
    <row r="31" spans="1:6" ht="27" customHeight="1">
      <c r="A31" s="4">
        <v>103</v>
      </c>
      <c r="B31" s="4" t="s">
        <v>34</v>
      </c>
      <c r="C31" s="5" t="s">
        <v>40</v>
      </c>
      <c r="D31" s="6">
        <v>1</v>
      </c>
      <c r="E31" s="7"/>
      <c r="F31" s="8"/>
    </row>
    <row r="32" spans="1:6" ht="27" customHeight="1">
      <c r="A32" s="4">
        <v>103</v>
      </c>
      <c r="B32" s="4" t="s">
        <v>34</v>
      </c>
      <c r="C32" s="5" t="s">
        <v>41</v>
      </c>
      <c r="D32" s="6">
        <v>1</v>
      </c>
      <c r="E32" s="7"/>
      <c r="F32" s="8"/>
    </row>
    <row r="33" spans="1:6" ht="27" customHeight="1">
      <c r="A33" s="4">
        <v>103</v>
      </c>
      <c r="B33" s="4" t="s">
        <v>34</v>
      </c>
      <c r="C33" s="5" t="s">
        <v>42</v>
      </c>
      <c r="D33" s="6">
        <v>1</v>
      </c>
      <c r="E33" s="7"/>
      <c r="F33" s="8"/>
    </row>
    <row r="34" spans="1:6" ht="27" customHeight="1">
      <c r="A34" s="4">
        <v>104</v>
      </c>
      <c r="B34" s="4" t="s">
        <v>43</v>
      </c>
      <c r="C34" s="5" t="s">
        <v>44</v>
      </c>
      <c r="D34" s="6">
        <v>1</v>
      </c>
      <c r="E34" s="7"/>
      <c r="F34" s="8"/>
    </row>
    <row r="35" spans="1:6" ht="27" customHeight="1">
      <c r="A35" s="4">
        <v>104</v>
      </c>
      <c r="B35" s="4" t="s">
        <v>43</v>
      </c>
      <c r="C35" s="5" t="s">
        <v>45</v>
      </c>
      <c r="D35" s="6">
        <v>1</v>
      </c>
      <c r="E35" s="7"/>
      <c r="F35" s="8"/>
    </row>
    <row r="36" spans="1:6" ht="27" customHeight="1">
      <c r="A36" s="4">
        <v>104</v>
      </c>
      <c r="B36" s="4" t="s">
        <v>43</v>
      </c>
      <c r="C36" s="5" t="s">
        <v>46</v>
      </c>
      <c r="D36" s="6">
        <v>1</v>
      </c>
      <c r="E36" s="7"/>
      <c r="F36" s="8"/>
    </row>
    <row r="37" spans="1:6" ht="27" customHeight="1">
      <c r="A37" s="4">
        <v>104</v>
      </c>
      <c r="B37" s="4" t="s">
        <v>43</v>
      </c>
      <c r="C37" s="5" t="s">
        <v>47</v>
      </c>
      <c r="D37" s="6">
        <v>1</v>
      </c>
      <c r="E37" s="7"/>
      <c r="F37" s="8"/>
    </row>
    <row r="38" spans="1:6" ht="27" customHeight="1">
      <c r="A38" s="4">
        <v>104</v>
      </c>
      <c r="B38" s="4" t="s">
        <v>43</v>
      </c>
      <c r="C38" s="5" t="s">
        <v>48</v>
      </c>
      <c r="D38" s="6">
        <v>1</v>
      </c>
      <c r="E38" s="7"/>
      <c r="F38" s="8"/>
    </row>
    <row r="39" spans="1:6" ht="27" customHeight="1">
      <c r="A39" s="4">
        <v>104</v>
      </c>
      <c r="B39" s="4" t="s">
        <v>43</v>
      </c>
      <c r="C39" s="5" t="s">
        <v>49</v>
      </c>
      <c r="D39" s="6">
        <v>1</v>
      </c>
      <c r="E39" s="7"/>
      <c r="F39" s="8"/>
    </row>
    <row r="40" spans="1:6" ht="27" customHeight="1">
      <c r="A40" s="4">
        <v>104</v>
      </c>
      <c r="B40" s="4" t="s">
        <v>43</v>
      </c>
      <c r="C40" s="5" t="s">
        <v>50</v>
      </c>
      <c r="D40" s="6">
        <v>1</v>
      </c>
      <c r="E40" s="7"/>
      <c r="F40" s="8"/>
    </row>
    <row r="41" spans="1:6" ht="27" customHeight="1">
      <c r="A41" s="4">
        <v>104</v>
      </c>
      <c r="B41" s="4" t="s">
        <v>43</v>
      </c>
      <c r="C41" s="5" t="s">
        <v>51</v>
      </c>
      <c r="D41" s="6">
        <v>1</v>
      </c>
      <c r="E41" s="7"/>
      <c r="F41" s="8"/>
    </row>
    <row r="42" spans="1:6" ht="27" customHeight="1">
      <c r="A42" s="4">
        <v>105</v>
      </c>
      <c r="B42" s="4" t="s">
        <v>52</v>
      </c>
      <c r="C42" s="5" t="s">
        <v>53</v>
      </c>
      <c r="D42" s="6">
        <v>1</v>
      </c>
      <c r="E42" s="7"/>
      <c r="F42" s="8"/>
    </row>
    <row r="43" spans="1:6" ht="27" customHeight="1">
      <c r="A43" s="4">
        <v>105</v>
      </c>
      <c r="B43" s="4" t="s">
        <v>52</v>
      </c>
      <c r="C43" s="5" t="s">
        <v>54</v>
      </c>
      <c r="D43" s="6">
        <v>1</v>
      </c>
      <c r="E43" s="7"/>
      <c r="F43" s="8"/>
    </row>
    <row r="44" spans="1:6" ht="27" customHeight="1">
      <c r="A44" s="4">
        <v>105</v>
      </c>
      <c r="B44" s="4" t="s">
        <v>52</v>
      </c>
      <c r="C44" s="5" t="s">
        <v>55</v>
      </c>
      <c r="D44" s="6">
        <v>1</v>
      </c>
      <c r="E44" s="7"/>
      <c r="F44" s="8"/>
    </row>
    <row r="45" spans="1:6" ht="27" customHeight="1">
      <c r="A45" s="4">
        <v>105</v>
      </c>
      <c r="B45" s="4" t="s">
        <v>52</v>
      </c>
      <c r="C45" s="5" t="s">
        <v>56</v>
      </c>
      <c r="D45" s="6">
        <v>1</v>
      </c>
      <c r="E45" s="7"/>
      <c r="F45" s="8"/>
    </row>
    <row r="46" spans="1:6" ht="27" customHeight="1">
      <c r="A46" s="4">
        <v>105</v>
      </c>
      <c r="B46" s="4" t="s">
        <v>52</v>
      </c>
      <c r="C46" s="5" t="s">
        <v>57</v>
      </c>
      <c r="D46" s="6">
        <v>1</v>
      </c>
      <c r="E46" s="7"/>
      <c r="F46" s="8"/>
    </row>
    <row r="47" spans="1:6" ht="27" customHeight="1">
      <c r="A47" s="4">
        <v>105</v>
      </c>
      <c r="B47" s="4" t="s">
        <v>52</v>
      </c>
      <c r="C47" s="5" t="s">
        <v>58</v>
      </c>
      <c r="D47" s="6">
        <v>1</v>
      </c>
      <c r="E47" s="7"/>
      <c r="F47" s="8"/>
    </row>
    <row r="48" spans="1:6" ht="27" customHeight="1">
      <c r="A48" s="4">
        <v>105</v>
      </c>
      <c r="B48" s="4" t="s">
        <v>52</v>
      </c>
      <c r="C48" s="5" t="s">
        <v>59</v>
      </c>
      <c r="D48" s="6">
        <v>1</v>
      </c>
      <c r="E48" s="7"/>
      <c r="F48" s="8"/>
    </row>
    <row r="49" spans="1:6" ht="27" customHeight="1">
      <c r="A49" s="4">
        <v>105</v>
      </c>
      <c r="B49" s="4" t="s">
        <v>52</v>
      </c>
      <c r="C49" s="5" t="s">
        <v>60</v>
      </c>
      <c r="D49" s="6">
        <v>1</v>
      </c>
      <c r="E49" s="7"/>
      <c r="F49" s="8"/>
    </row>
    <row r="50" spans="1:6" ht="27" customHeight="1">
      <c r="A50" s="4">
        <v>106</v>
      </c>
      <c r="B50" s="4" t="s">
        <v>61</v>
      </c>
      <c r="C50" s="5" t="s">
        <v>62</v>
      </c>
      <c r="D50" s="6">
        <v>1</v>
      </c>
      <c r="E50" s="7"/>
      <c r="F50" s="8"/>
    </row>
    <row r="51" spans="1:6" ht="27" customHeight="1">
      <c r="A51" s="4">
        <v>106</v>
      </c>
      <c r="B51" s="4" t="s">
        <v>61</v>
      </c>
      <c r="C51" s="5" t="s">
        <v>63</v>
      </c>
      <c r="D51" s="6">
        <v>1</v>
      </c>
      <c r="E51" s="7"/>
      <c r="F51" s="8"/>
    </row>
    <row r="52" spans="1:6" ht="27" customHeight="1">
      <c r="A52" s="4">
        <v>106</v>
      </c>
      <c r="B52" s="4" t="s">
        <v>61</v>
      </c>
      <c r="C52" s="5" t="s">
        <v>64</v>
      </c>
      <c r="D52" s="6">
        <v>1</v>
      </c>
      <c r="E52" s="7"/>
      <c r="F52" s="8"/>
    </row>
    <row r="53" spans="1:6" ht="27" customHeight="1">
      <c r="A53" s="4">
        <v>106</v>
      </c>
      <c r="B53" s="4" t="s">
        <v>61</v>
      </c>
      <c r="C53" s="5" t="s">
        <v>65</v>
      </c>
      <c r="D53" s="6">
        <v>1</v>
      </c>
      <c r="E53" s="7"/>
      <c r="F53" s="8"/>
    </row>
    <row r="54" spans="1:6" ht="27" customHeight="1">
      <c r="A54" s="4">
        <v>106</v>
      </c>
      <c r="B54" s="4" t="s">
        <v>61</v>
      </c>
      <c r="C54" s="5" t="s">
        <v>66</v>
      </c>
      <c r="D54" s="6">
        <v>1</v>
      </c>
      <c r="E54" s="7"/>
      <c r="F54" s="8"/>
    </row>
    <row r="55" spans="1:6" ht="27" customHeight="1">
      <c r="A55" s="4">
        <v>106</v>
      </c>
      <c r="B55" s="4" t="s">
        <v>61</v>
      </c>
      <c r="C55" s="5" t="s">
        <v>67</v>
      </c>
      <c r="D55" s="6">
        <v>1</v>
      </c>
      <c r="E55" s="7"/>
      <c r="F55" s="8"/>
    </row>
    <row r="56" spans="1:6" ht="27" customHeight="1">
      <c r="A56" s="4">
        <v>107</v>
      </c>
      <c r="B56" s="4" t="s">
        <v>68</v>
      </c>
      <c r="C56" s="5" t="s">
        <v>69</v>
      </c>
      <c r="D56" s="6">
        <v>1</v>
      </c>
      <c r="E56" s="7"/>
      <c r="F56" s="8"/>
    </row>
    <row r="57" spans="1:6" ht="27" customHeight="1">
      <c r="A57" s="4">
        <v>107</v>
      </c>
      <c r="B57" s="4" t="s">
        <v>68</v>
      </c>
      <c r="C57" s="5" t="s">
        <v>70</v>
      </c>
      <c r="D57" s="6">
        <v>1</v>
      </c>
      <c r="E57" s="7"/>
      <c r="F57" s="8"/>
    </row>
    <row r="58" spans="1:6" ht="27" customHeight="1">
      <c r="A58" s="4">
        <v>107</v>
      </c>
      <c r="B58" s="4" t="s">
        <v>68</v>
      </c>
      <c r="C58" s="5" t="s">
        <v>71</v>
      </c>
      <c r="D58" s="6">
        <v>1</v>
      </c>
      <c r="E58" s="7"/>
      <c r="F58" s="8"/>
    </row>
    <row r="59" spans="1:6" ht="27" customHeight="1">
      <c r="A59" s="4">
        <v>107</v>
      </c>
      <c r="B59" s="4" t="s">
        <v>68</v>
      </c>
      <c r="C59" s="5" t="s">
        <v>72</v>
      </c>
      <c r="D59" s="6">
        <v>1</v>
      </c>
      <c r="E59" s="7"/>
      <c r="F59" s="8"/>
    </row>
    <row r="60" spans="1:6" ht="27" customHeight="1">
      <c r="A60" s="4">
        <v>107</v>
      </c>
      <c r="B60" s="4" t="s">
        <v>68</v>
      </c>
      <c r="C60" s="5" t="s">
        <v>73</v>
      </c>
      <c r="D60" s="6">
        <v>1</v>
      </c>
      <c r="E60" s="7"/>
      <c r="F60" s="8"/>
    </row>
    <row r="62" spans="1:6">
      <c r="A62" s="13" t="s">
        <v>74</v>
      </c>
      <c r="B62" s="13"/>
      <c r="C62" s="13"/>
      <c r="D62" s="9">
        <f>SUM(D6:D60)</f>
        <v>52</v>
      </c>
    </row>
    <row r="63" spans="1:6">
      <c r="A63" s="13" t="s">
        <v>75</v>
      </c>
      <c r="B63" s="13"/>
      <c r="C63" s="13"/>
      <c r="D63" s="9">
        <f>COUNTA(A6:A60)</f>
        <v>55</v>
      </c>
    </row>
    <row r="64" spans="1:6">
      <c r="A64" s="13" t="s">
        <v>76</v>
      </c>
      <c r="B64" s="13"/>
      <c r="C64" s="13"/>
      <c r="D64" s="10">
        <f>IF(D63=0,0,D62/D63)</f>
        <v>0.94545454545454544</v>
      </c>
    </row>
    <row r="66" spans="1:6">
      <c r="A66" s="14" t="s">
        <v>77</v>
      </c>
      <c r="B66" s="15"/>
      <c r="C66" s="15"/>
      <c r="D66" s="15"/>
      <c r="E66" s="15"/>
      <c r="F66" s="16"/>
    </row>
    <row r="67" spans="1:6">
      <c r="A67" s="17"/>
      <c r="B67" s="18"/>
      <c r="C67" s="18"/>
      <c r="D67" s="18"/>
      <c r="E67" s="18"/>
      <c r="F67" s="19"/>
    </row>
  </sheetData>
  <mergeCells count="5">
    <mergeCell ref="A1:F1"/>
    <mergeCell ref="A62:C62"/>
    <mergeCell ref="A63:C63"/>
    <mergeCell ref="A64:C64"/>
    <mergeCell ref="A66:F67"/>
  </mergeCells>
  <conditionalFormatting sqref="D6:D60">
    <cfRule type="cellIs" dxfId="3" priority="1" operator="equal">
      <formula>1</formula>
    </cfRule>
    <cfRule type="cellIs" dxfId="2" priority="2" operator="equal">
      <formula>0</formula>
    </cfRule>
  </conditionalFormatting>
  <dataValidations count="3">
    <dataValidation type="list" sqref="D2" xr:uid="{00000000-0002-0000-0000-000000000000}">
      <formula1>"فروردین,اردیبهشت,خرداد,تیر,مرداد,شهریور,مهر,آبان,آذر,دی,بهمن,اسفند"</formula1>
    </dataValidation>
    <dataValidation type="list" sqref="D6:D60" xr:uid="{00000000-0002-0000-0000-000001000000}">
      <formula1>"0,1"</formula1>
    </dataValidation>
    <dataValidation type="list" sqref="E6:E60" xr:uid="{00000000-0002-0000-0000-000002000000}">
      <formula1>"To Do,In Process,Done"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E695-788E-4128-A6A0-F36B1F90996C}">
  <dimension ref="A1:F67"/>
  <sheetViews>
    <sheetView rightToLeft="1" tabSelected="1" workbookViewId="0">
      <selection activeCell="F29" sqref="F29"/>
    </sheetView>
  </sheetViews>
  <sheetFormatPr defaultRowHeight="13.8"/>
  <cols>
    <col min="1" max="1" width="12" customWidth="1"/>
    <col min="2" max="2" width="24" customWidth="1"/>
    <col min="3" max="3" width="62" customWidth="1"/>
    <col min="4" max="4" width="16" customWidth="1"/>
    <col min="5" max="5" width="18" customWidth="1"/>
    <col min="6" max="6" width="38" customWidth="1"/>
  </cols>
  <sheetData>
    <row r="1" spans="1:6" ht="34.049999999999997" customHeight="1">
      <c r="A1" s="12" t="str">
        <f>IF(B2="","فرم ارزیابی دوره‌ای فروشگاه","ارزیابی فروشگاه "&amp;B2&amp;" — "&amp;D2&amp;" "&amp;F2)</f>
        <v>ارزیابی فروشگاه سیوان — مرداد 1405</v>
      </c>
      <c r="B1" s="12"/>
      <c r="C1" s="12"/>
      <c r="D1" s="12"/>
      <c r="E1" s="12"/>
      <c r="F1" s="12"/>
    </row>
    <row r="2" spans="1:6">
      <c r="A2" s="1" t="s">
        <v>0</v>
      </c>
      <c r="B2" s="2" t="s">
        <v>82</v>
      </c>
      <c r="C2" s="1" t="s">
        <v>1</v>
      </c>
      <c r="D2" s="2" t="s">
        <v>84</v>
      </c>
      <c r="E2" s="1" t="s">
        <v>2</v>
      </c>
      <c r="F2" s="2">
        <v>1405</v>
      </c>
    </row>
    <row r="3" spans="1:6">
      <c r="A3" s="1" t="s">
        <v>3</v>
      </c>
      <c r="B3" s="2" t="s">
        <v>83</v>
      </c>
      <c r="C3" s="1" t="s">
        <v>4</v>
      </c>
      <c r="D3" s="2"/>
      <c r="E3" s="1" t="s">
        <v>5</v>
      </c>
      <c r="F3" s="2"/>
    </row>
    <row r="5" spans="1:6" ht="30" customHeight="1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</row>
    <row r="6" spans="1:6" ht="27" customHeight="1">
      <c r="A6" s="4">
        <v>101</v>
      </c>
      <c r="B6" s="4" t="s">
        <v>12</v>
      </c>
      <c r="C6" s="5" t="s">
        <v>13</v>
      </c>
      <c r="D6" s="6">
        <v>1</v>
      </c>
      <c r="E6" s="7"/>
      <c r="F6" s="8"/>
    </row>
    <row r="7" spans="1:6" ht="27" customHeight="1">
      <c r="A7" s="4">
        <v>101</v>
      </c>
      <c r="B7" s="4" t="s">
        <v>12</v>
      </c>
      <c r="C7" s="5" t="s">
        <v>14</v>
      </c>
      <c r="D7" s="6">
        <v>0</v>
      </c>
      <c r="E7" s="7" t="s">
        <v>79</v>
      </c>
      <c r="F7" s="8" t="s">
        <v>86</v>
      </c>
    </row>
    <row r="8" spans="1:6" ht="27" customHeight="1">
      <c r="A8" s="4">
        <v>101</v>
      </c>
      <c r="B8" s="4" t="s">
        <v>12</v>
      </c>
      <c r="C8" s="5" t="s">
        <v>15</v>
      </c>
      <c r="D8" s="6">
        <v>1</v>
      </c>
      <c r="E8" s="7"/>
      <c r="F8" s="8"/>
    </row>
    <row r="9" spans="1:6" ht="27" customHeight="1">
      <c r="A9" s="4">
        <v>101</v>
      </c>
      <c r="B9" s="4" t="s">
        <v>12</v>
      </c>
      <c r="C9" s="5" t="s">
        <v>16</v>
      </c>
      <c r="D9" s="6">
        <v>0</v>
      </c>
      <c r="E9" s="7" t="s">
        <v>79</v>
      </c>
      <c r="F9" s="8" t="s">
        <v>80</v>
      </c>
    </row>
    <row r="10" spans="1:6" ht="27" customHeight="1">
      <c r="A10" s="4">
        <v>101</v>
      </c>
      <c r="B10" s="4" t="s">
        <v>12</v>
      </c>
      <c r="C10" s="5" t="s">
        <v>17</v>
      </c>
      <c r="D10" s="6">
        <v>1</v>
      </c>
      <c r="E10" s="7"/>
      <c r="F10" s="8"/>
    </row>
    <row r="11" spans="1:6" ht="27" customHeight="1">
      <c r="A11" s="4">
        <v>101</v>
      </c>
      <c r="B11" s="4" t="s">
        <v>12</v>
      </c>
      <c r="C11" s="5" t="s">
        <v>18</v>
      </c>
      <c r="D11" s="6">
        <v>1</v>
      </c>
      <c r="E11" s="7"/>
      <c r="F11" s="8"/>
    </row>
    <row r="12" spans="1:6" ht="27" customHeight="1">
      <c r="A12" s="4">
        <v>101</v>
      </c>
      <c r="B12" s="4" t="s">
        <v>12</v>
      </c>
      <c r="C12" s="5" t="s">
        <v>19</v>
      </c>
      <c r="D12" s="6">
        <v>1</v>
      </c>
      <c r="E12" s="7"/>
      <c r="F12" s="8"/>
    </row>
    <row r="13" spans="1:6" ht="27" customHeight="1">
      <c r="A13" s="4">
        <v>101</v>
      </c>
      <c r="B13" s="4" t="s">
        <v>12</v>
      </c>
      <c r="C13" s="5" t="s">
        <v>20</v>
      </c>
      <c r="D13" s="6">
        <v>1</v>
      </c>
      <c r="E13" s="7"/>
      <c r="F13" s="8"/>
    </row>
    <row r="14" spans="1:6" ht="27" customHeight="1">
      <c r="A14" s="4">
        <v>101</v>
      </c>
      <c r="B14" s="4" t="s">
        <v>12</v>
      </c>
      <c r="C14" s="5" t="s">
        <v>21</v>
      </c>
      <c r="D14" s="6">
        <v>1</v>
      </c>
      <c r="E14" s="7" t="s">
        <v>78</v>
      </c>
      <c r="F14" s="8"/>
    </row>
    <row r="15" spans="1:6" ht="27" customHeight="1">
      <c r="A15" s="4">
        <v>101</v>
      </c>
      <c r="B15" s="4" t="s">
        <v>12</v>
      </c>
      <c r="C15" s="5" t="s">
        <v>22</v>
      </c>
      <c r="D15" s="6">
        <v>1</v>
      </c>
      <c r="E15" s="7"/>
      <c r="F15" s="8"/>
    </row>
    <row r="16" spans="1:6" ht="27" customHeight="1">
      <c r="A16" s="4">
        <v>101</v>
      </c>
      <c r="B16" s="4" t="s">
        <v>12</v>
      </c>
      <c r="C16" s="5" t="s">
        <v>23</v>
      </c>
      <c r="D16" s="6">
        <v>1</v>
      </c>
      <c r="E16" s="7"/>
      <c r="F16" s="8"/>
    </row>
    <row r="17" spans="1:6" ht="27" customHeight="1">
      <c r="A17" s="4">
        <v>102</v>
      </c>
      <c r="B17" s="4" t="s">
        <v>24</v>
      </c>
      <c r="C17" s="5" t="s">
        <v>25</v>
      </c>
      <c r="D17" s="6">
        <v>1</v>
      </c>
      <c r="E17" s="7"/>
      <c r="F17" s="8"/>
    </row>
    <row r="18" spans="1:6" ht="27" customHeight="1">
      <c r="A18" s="4">
        <v>102</v>
      </c>
      <c r="B18" s="4" t="s">
        <v>24</v>
      </c>
      <c r="C18" s="5" t="s">
        <v>26</v>
      </c>
      <c r="D18" s="6">
        <v>1</v>
      </c>
      <c r="E18" s="7"/>
      <c r="F18" s="8"/>
    </row>
    <row r="19" spans="1:6" ht="27" customHeight="1">
      <c r="A19" s="4">
        <v>102</v>
      </c>
      <c r="B19" s="4" t="s">
        <v>24</v>
      </c>
      <c r="C19" s="5" t="s">
        <v>27</v>
      </c>
      <c r="D19" s="6">
        <v>1</v>
      </c>
      <c r="E19" s="7"/>
      <c r="F19" s="8"/>
    </row>
    <row r="20" spans="1:6" ht="27" customHeight="1">
      <c r="A20" s="4">
        <v>102</v>
      </c>
      <c r="B20" s="4" t="s">
        <v>24</v>
      </c>
      <c r="C20" s="5" t="s">
        <v>28</v>
      </c>
      <c r="D20" s="6">
        <v>1</v>
      </c>
      <c r="E20" s="7"/>
      <c r="F20" s="8"/>
    </row>
    <row r="21" spans="1:6" ht="27" customHeight="1">
      <c r="A21" s="4">
        <v>102</v>
      </c>
      <c r="B21" s="4" t="s">
        <v>24</v>
      </c>
      <c r="C21" s="5" t="s">
        <v>29</v>
      </c>
      <c r="D21" s="6">
        <v>1</v>
      </c>
      <c r="E21" s="7"/>
      <c r="F21" s="8"/>
    </row>
    <row r="22" spans="1:6" ht="27" customHeight="1">
      <c r="A22" s="4">
        <v>102</v>
      </c>
      <c r="B22" s="4" t="s">
        <v>24</v>
      </c>
      <c r="C22" s="5" t="s">
        <v>30</v>
      </c>
      <c r="D22" s="6">
        <v>1</v>
      </c>
      <c r="E22" s="7" t="s">
        <v>78</v>
      </c>
      <c r="F22" s="8" t="s">
        <v>85</v>
      </c>
    </row>
    <row r="23" spans="1:6" ht="27" customHeight="1">
      <c r="A23" s="4">
        <v>102</v>
      </c>
      <c r="B23" s="4" t="s">
        <v>24</v>
      </c>
      <c r="C23" s="5" t="s">
        <v>31</v>
      </c>
      <c r="D23" s="6">
        <v>1</v>
      </c>
      <c r="E23" s="7"/>
      <c r="F23" s="8"/>
    </row>
    <row r="24" spans="1:6" ht="27" customHeight="1">
      <c r="A24" s="4">
        <v>102</v>
      </c>
      <c r="B24" s="4" t="s">
        <v>24</v>
      </c>
      <c r="C24" s="5" t="s">
        <v>32</v>
      </c>
      <c r="D24" s="6">
        <v>1</v>
      </c>
      <c r="E24" s="7"/>
      <c r="F24" s="8"/>
    </row>
    <row r="25" spans="1:6" ht="27" customHeight="1">
      <c r="A25" s="4">
        <v>102</v>
      </c>
      <c r="B25" s="4" t="s">
        <v>24</v>
      </c>
      <c r="C25" s="5" t="s">
        <v>33</v>
      </c>
      <c r="D25" s="6">
        <v>1</v>
      </c>
      <c r="E25" s="7"/>
      <c r="F25" s="8"/>
    </row>
    <row r="26" spans="1:6" ht="27" customHeight="1">
      <c r="A26" s="4">
        <v>103</v>
      </c>
      <c r="B26" s="4" t="s">
        <v>34</v>
      </c>
      <c r="C26" s="5" t="s">
        <v>35</v>
      </c>
      <c r="D26" s="6">
        <v>1</v>
      </c>
      <c r="E26" s="7"/>
      <c r="F26" s="8"/>
    </row>
    <row r="27" spans="1:6" ht="27" customHeight="1">
      <c r="A27" s="4">
        <v>103</v>
      </c>
      <c r="B27" s="4" t="s">
        <v>34</v>
      </c>
      <c r="C27" s="5" t="s">
        <v>36</v>
      </c>
      <c r="D27" s="6">
        <v>1</v>
      </c>
      <c r="E27" s="7"/>
      <c r="F27" s="8"/>
    </row>
    <row r="28" spans="1:6" ht="27" customHeight="1">
      <c r="A28" s="4">
        <v>103</v>
      </c>
      <c r="B28" s="4" t="s">
        <v>34</v>
      </c>
      <c r="C28" s="5" t="s">
        <v>37</v>
      </c>
      <c r="D28" s="6">
        <v>0</v>
      </c>
      <c r="E28" s="7" t="s">
        <v>88</v>
      </c>
      <c r="F28" s="8" t="s">
        <v>89</v>
      </c>
    </row>
    <row r="29" spans="1:6" ht="27" customHeight="1">
      <c r="A29" s="4">
        <v>103</v>
      </c>
      <c r="B29" s="4" t="s">
        <v>34</v>
      </c>
      <c r="C29" s="5" t="s">
        <v>38</v>
      </c>
      <c r="D29" s="6">
        <v>1</v>
      </c>
      <c r="E29" s="7"/>
      <c r="F29" s="8"/>
    </row>
    <row r="30" spans="1:6" ht="27" customHeight="1">
      <c r="A30" s="4">
        <v>103</v>
      </c>
      <c r="B30" s="4" t="s">
        <v>34</v>
      </c>
      <c r="C30" s="5" t="s">
        <v>39</v>
      </c>
      <c r="D30" s="6">
        <v>1</v>
      </c>
      <c r="E30" s="7"/>
      <c r="F30" s="8"/>
    </row>
    <row r="31" spans="1:6" ht="27" customHeight="1">
      <c r="A31" s="4">
        <v>103</v>
      </c>
      <c r="B31" s="4" t="s">
        <v>34</v>
      </c>
      <c r="C31" s="5" t="s">
        <v>40</v>
      </c>
      <c r="D31" s="6">
        <v>1</v>
      </c>
      <c r="E31" s="7"/>
      <c r="F31" s="8"/>
    </row>
    <row r="32" spans="1:6" ht="27" customHeight="1">
      <c r="A32" s="4">
        <v>103</v>
      </c>
      <c r="B32" s="4" t="s">
        <v>34</v>
      </c>
      <c r="C32" s="5" t="s">
        <v>41</v>
      </c>
      <c r="D32" s="6">
        <v>1</v>
      </c>
      <c r="E32" s="7"/>
      <c r="F32" s="8"/>
    </row>
    <row r="33" spans="1:6" ht="27" customHeight="1">
      <c r="A33" s="4">
        <v>103</v>
      </c>
      <c r="B33" s="4" t="s">
        <v>34</v>
      </c>
      <c r="C33" s="5" t="s">
        <v>42</v>
      </c>
      <c r="D33" s="6">
        <v>1</v>
      </c>
      <c r="E33" s="7"/>
      <c r="F33" s="8"/>
    </row>
    <row r="34" spans="1:6" ht="27" customHeight="1">
      <c r="A34" s="4">
        <v>104</v>
      </c>
      <c r="B34" s="4" t="s">
        <v>43</v>
      </c>
      <c r="C34" s="5" t="s">
        <v>44</v>
      </c>
      <c r="D34" s="6">
        <v>1</v>
      </c>
      <c r="E34" s="7"/>
      <c r="F34" s="8"/>
    </row>
    <row r="35" spans="1:6" ht="27" customHeight="1">
      <c r="A35" s="4">
        <v>104</v>
      </c>
      <c r="B35" s="4" t="s">
        <v>43</v>
      </c>
      <c r="C35" s="5" t="s">
        <v>45</v>
      </c>
      <c r="D35" s="6">
        <v>1</v>
      </c>
      <c r="E35" s="7"/>
      <c r="F35" s="8"/>
    </row>
    <row r="36" spans="1:6" ht="27" customHeight="1">
      <c r="A36" s="4">
        <v>104</v>
      </c>
      <c r="B36" s="4" t="s">
        <v>43</v>
      </c>
      <c r="C36" s="5" t="s">
        <v>46</v>
      </c>
      <c r="D36" s="6">
        <v>1</v>
      </c>
      <c r="E36" s="7"/>
      <c r="F36" s="8"/>
    </row>
    <row r="37" spans="1:6" ht="27" customHeight="1">
      <c r="A37" s="4">
        <v>104</v>
      </c>
      <c r="B37" s="4" t="s">
        <v>43</v>
      </c>
      <c r="C37" s="5" t="s">
        <v>47</v>
      </c>
      <c r="D37" s="6">
        <v>1</v>
      </c>
      <c r="E37" s="7"/>
      <c r="F37" s="8"/>
    </row>
    <row r="38" spans="1:6" ht="27" customHeight="1">
      <c r="A38" s="4">
        <v>104</v>
      </c>
      <c r="B38" s="4" t="s">
        <v>43</v>
      </c>
      <c r="C38" s="5" t="s">
        <v>48</v>
      </c>
      <c r="D38" s="6">
        <v>1</v>
      </c>
      <c r="E38" s="7"/>
      <c r="F38" s="8"/>
    </row>
    <row r="39" spans="1:6" ht="27" customHeight="1">
      <c r="A39" s="4">
        <v>104</v>
      </c>
      <c r="B39" s="4" t="s">
        <v>43</v>
      </c>
      <c r="C39" s="5" t="s">
        <v>49</v>
      </c>
      <c r="D39" s="6">
        <v>1</v>
      </c>
      <c r="E39" s="7"/>
      <c r="F39" s="8"/>
    </row>
    <row r="40" spans="1:6" ht="27" customHeight="1">
      <c r="A40" s="4">
        <v>104</v>
      </c>
      <c r="B40" s="4" t="s">
        <v>43</v>
      </c>
      <c r="C40" s="5" t="s">
        <v>50</v>
      </c>
      <c r="D40" s="6">
        <v>1</v>
      </c>
      <c r="E40" s="7"/>
      <c r="F40" s="8"/>
    </row>
    <row r="41" spans="1:6" ht="27" customHeight="1">
      <c r="A41" s="4">
        <v>104</v>
      </c>
      <c r="B41" s="4" t="s">
        <v>43</v>
      </c>
      <c r="C41" s="5" t="s">
        <v>51</v>
      </c>
      <c r="D41" s="6">
        <v>1</v>
      </c>
      <c r="E41" s="7"/>
      <c r="F41" s="8"/>
    </row>
    <row r="42" spans="1:6" ht="27" customHeight="1">
      <c r="A42" s="4">
        <v>105</v>
      </c>
      <c r="B42" s="4" t="s">
        <v>52</v>
      </c>
      <c r="C42" s="5" t="s">
        <v>53</v>
      </c>
      <c r="D42" s="6">
        <v>1</v>
      </c>
      <c r="E42" s="7"/>
      <c r="F42" s="8"/>
    </row>
    <row r="43" spans="1:6" ht="27" customHeight="1">
      <c r="A43" s="4">
        <v>105</v>
      </c>
      <c r="B43" s="4" t="s">
        <v>52</v>
      </c>
      <c r="C43" s="5" t="s">
        <v>54</v>
      </c>
      <c r="D43" s="6">
        <v>1</v>
      </c>
      <c r="E43" s="7"/>
      <c r="F43" s="8"/>
    </row>
    <row r="44" spans="1:6" ht="27" customHeight="1">
      <c r="A44" s="4">
        <v>105</v>
      </c>
      <c r="B44" s="4" t="s">
        <v>52</v>
      </c>
      <c r="C44" s="5" t="s">
        <v>55</v>
      </c>
      <c r="D44" s="6">
        <v>1</v>
      </c>
      <c r="E44" s="7"/>
      <c r="F44" s="8"/>
    </row>
    <row r="45" spans="1:6" ht="27" customHeight="1">
      <c r="A45" s="4">
        <v>105</v>
      </c>
      <c r="B45" s="4" t="s">
        <v>52</v>
      </c>
      <c r="C45" s="5" t="s">
        <v>56</v>
      </c>
      <c r="D45" s="6">
        <v>1</v>
      </c>
      <c r="E45" s="7"/>
      <c r="F45" s="8"/>
    </row>
    <row r="46" spans="1:6" ht="27" customHeight="1">
      <c r="A46" s="4">
        <v>105</v>
      </c>
      <c r="B46" s="4" t="s">
        <v>52</v>
      </c>
      <c r="C46" s="5" t="s">
        <v>57</v>
      </c>
      <c r="D46" s="6">
        <v>1</v>
      </c>
      <c r="E46" s="7"/>
      <c r="F46" s="8"/>
    </row>
    <row r="47" spans="1:6" ht="27" customHeight="1">
      <c r="A47" s="4">
        <v>105</v>
      </c>
      <c r="B47" s="4" t="s">
        <v>52</v>
      </c>
      <c r="C47" s="5" t="s">
        <v>58</v>
      </c>
      <c r="D47" s="6">
        <v>1</v>
      </c>
      <c r="E47" s="7"/>
      <c r="F47" s="8"/>
    </row>
    <row r="48" spans="1:6" ht="27" customHeight="1">
      <c r="A48" s="4">
        <v>105</v>
      </c>
      <c r="B48" s="4" t="s">
        <v>52</v>
      </c>
      <c r="C48" s="5" t="s">
        <v>59</v>
      </c>
      <c r="D48" s="6">
        <v>1</v>
      </c>
      <c r="E48" s="7"/>
      <c r="F48" s="8"/>
    </row>
    <row r="49" spans="1:6" ht="27" customHeight="1">
      <c r="A49" s="4">
        <v>105</v>
      </c>
      <c r="B49" s="4" t="s">
        <v>52</v>
      </c>
      <c r="C49" s="5" t="s">
        <v>60</v>
      </c>
      <c r="D49" s="6">
        <v>1</v>
      </c>
      <c r="E49" s="7"/>
      <c r="F49" s="8"/>
    </row>
    <row r="50" spans="1:6" ht="27" customHeight="1">
      <c r="A50" s="4">
        <v>106</v>
      </c>
      <c r="B50" s="4" t="s">
        <v>61</v>
      </c>
      <c r="C50" s="5" t="s">
        <v>62</v>
      </c>
      <c r="D50" s="6">
        <v>1</v>
      </c>
      <c r="E50" s="7"/>
      <c r="F50" s="8"/>
    </row>
    <row r="51" spans="1:6" ht="27" customHeight="1">
      <c r="A51" s="4">
        <v>106</v>
      </c>
      <c r="B51" s="4" t="s">
        <v>61</v>
      </c>
      <c r="C51" s="5" t="s">
        <v>63</v>
      </c>
      <c r="D51" s="6">
        <v>1</v>
      </c>
      <c r="E51" s="7"/>
      <c r="F51" s="8"/>
    </row>
    <row r="52" spans="1:6" ht="27" customHeight="1">
      <c r="A52" s="4">
        <v>106</v>
      </c>
      <c r="B52" s="4" t="s">
        <v>61</v>
      </c>
      <c r="C52" s="5" t="s">
        <v>64</v>
      </c>
      <c r="D52" s="6">
        <v>1</v>
      </c>
      <c r="E52" s="7"/>
      <c r="F52" s="8"/>
    </row>
    <row r="53" spans="1:6" ht="27" customHeight="1">
      <c r="A53" s="4">
        <v>106</v>
      </c>
      <c r="B53" s="4" t="s">
        <v>61</v>
      </c>
      <c r="C53" s="5" t="s">
        <v>65</v>
      </c>
      <c r="D53" s="6">
        <v>1</v>
      </c>
      <c r="E53" s="7"/>
      <c r="F53" s="8"/>
    </row>
    <row r="54" spans="1:6" ht="27" customHeight="1">
      <c r="A54" s="4">
        <v>106</v>
      </c>
      <c r="B54" s="4" t="s">
        <v>61</v>
      </c>
      <c r="C54" s="5" t="s">
        <v>66</v>
      </c>
      <c r="D54" s="6">
        <v>1</v>
      </c>
      <c r="E54" s="7"/>
      <c r="F54" s="8"/>
    </row>
    <row r="55" spans="1:6" ht="27" customHeight="1">
      <c r="A55" s="4">
        <v>106</v>
      </c>
      <c r="B55" s="4" t="s">
        <v>61</v>
      </c>
      <c r="C55" s="5" t="s">
        <v>67</v>
      </c>
      <c r="D55" s="6">
        <v>1</v>
      </c>
      <c r="E55" s="7"/>
      <c r="F55" s="8"/>
    </row>
    <row r="56" spans="1:6" ht="27" customHeight="1">
      <c r="A56" s="4">
        <v>107</v>
      </c>
      <c r="B56" s="4" t="s">
        <v>68</v>
      </c>
      <c r="C56" s="5" t="s">
        <v>69</v>
      </c>
      <c r="D56" s="6">
        <v>1</v>
      </c>
      <c r="E56" s="7"/>
      <c r="F56" s="8"/>
    </row>
    <row r="57" spans="1:6" ht="27" customHeight="1">
      <c r="A57" s="4">
        <v>107</v>
      </c>
      <c r="B57" s="4" t="s">
        <v>68</v>
      </c>
      <c r="C57" s="5" t="s">
        <v>70</v>
      </c>
      <c r="D57" s="6">
        <v>1</v>
      </c>
      <c r="E57" s="7"/>
      <c r="F57" s="8"/>
    </row>
    <row r="58" spans="1:6" ht="27" customHeight="1">
      <c r="A58" s="4">
        <v>107</v>
      </c>
      <c r="B58" s="4" t="s">
        <v>68</v>
      </c>
      <c r="C58" s="5" t="s">
        <v>71</v>
      </c>
      <c r="D58" s="6">
        <v>1</v>
      </c>
      <c r="E58" s="7"/>
      <c r="F58" s="8"/>
    </row>
    <row r="59" spans="1:6" ht="27" customHeight="1">
      <c r="A59" s="4">
        <v>107</v>
      </c>
      <c r="B59" s="4" t="s">
        <v>68</v>
      </c>
      <c r="C59" s="5" t="s">
        <v>72</v>
      </c>
      <c r="D59" s="6">
        <v>1</v>
      </c>
      <c r="E59" s="7"/>
      <c r="F59" s="8"/>
    </row>
    <row r="60" spans="1:6" ht="27" customHeight="1">
      <c r="A60" s="4">
        <v>107</v>
      </c>
      <c r="B60" s="4" t="s">
        <v>68</v>
      </c>
      <c r="C60" s="5" t="s">
        <v>73</v>
      </c>
      <c r="D60" s="6">
        <v>1</v>
      </c>
      <c r="E60" s="7"/>
      <c r="F60" s="8"/>
    </row>
    <row r="62" spans="1:6">
      <c r="A62" s="13" t="s">
        <v>74</v>
      </c>
      <c r="B62" s="13"/>
      <c r="C62" s="13"/>
      <c r="D62" s="11">
        <f>SUM(D6:D60)</f>
        <v>52</v>
      </c>
    </row>
    <row r="63" spans="1:6">
      <c r="A63" s="13" t="s">
        <v>75</v>
      </c>
      <c r="B63" s="13"/>
      <c r="C63" s="13"/>
      <c r="D63" s="11">
        <f>COUNTA(A6:A60)</f>
        <v>55</v>
      </c>
    </row>
    <row r="64" spans="1:6">
      <c r="A64" s="13" t="s">
        <v>76</v>
      </c>
      <c r="B64" s="13"/>
      <c r="C64" s="13"/>
      <c r="D64" s="10">
        <f>IF(D63=0,0,D62/D63)</f>
        <v>0.94545454545454544</v>
      </c>
    </row>
    <row r="66" spans="1:6">
      <c r="A66" s="14" t="s">
        <v>77</v>
      </c>
      <c r="B66" s="15"/>
      <c r="C66" s="15"/>
      <c r="D66" s="15"/>
      <c r="E66" s="15"/>
      <c r="F66" s="16"/>
    </row>
    <row r="67" spans="1:6">
      <c r="A67" s="17"/>
      <c r="B67" s="18"/>
      <c r="C67" s="18"/>
      <c r="D67" s="18"/>
      <c r="E67" s="18"/>
      <c r="F67" s="19"/>
    </row>
  </sheetData>
  <mergeCells count="5">
    <mergeCell ref="A1:F1"/>
    <mergeCell ref="A62:C62"/>
    <mergeCell ref="A63:C63"/>
    <mergeCell ref="A64:C64"/>
    <mergeCell ref="A66:F67"/>
  </mergeCells>
  <conditionalFormatting sqref="D6:D60">
    <cfRule type="cellIs" dxfId="1" priority="1" operator="equal">
      <formula>1</formula>
    </cfRule>
    <cfRule type="cellIs" dxfId="0" priority="2" operator="equal">
      <formula>0</formula>
    </cfRule>
  </conditionalFormatting>
  <dataValidations count="3">
    <dataValidation type="list" sqref="E6:E60" xr:uid="{8A9DE6B0-AC2E-4FC0-98DA-DA0BD87617AF}">
      <formula1>"To Do,In Process,Done"</formula1>
    </dataValidation>
    <dataValidation type="list" sqref="D6:D60" xr:uid="{76D00BC1-A220-4156-A7EF-E3F3994DBBD6}">
      <formula1>"0,1"</formula1>
    </dataValidation>
    <dataValidation type="list" sqref="D2" xr:uid="{25FDAC64-4DDA-4221-841F-023AAE97D09E}">
      <formula1>"فروردین,اردیبهشت,خرداد,تیر,مرداد,شهریور,مهر,آبان,آذر,دی,بهمن,اسفند"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18ام مرداد</vt:lpstr>
      <vt:lpstr>25ام مرداد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Vahid Pishdad</dc:creator>
  <cp:lastModifiedBy>Vahid Pishdad</cp:lastModifiedBy>
  <dcterms:created xsi:type="dcterms:W3CDTF">2026-08-09T09:25:54Z</dcterms:created>
  <dcterms:modified xsi:type="dcterms:W3CDTF">2026-08-18T13:43:37Z</dcterms:modified>
</cp:coreProperties>
</file>